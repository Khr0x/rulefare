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506cf3215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uestos" sheetId="1" r:id="Rd7b1f03e2e694fde"/>
    <x:sheet xmlns:r="http://schemas.openxmlformats.org/officeDocument/2006/relationships" name="Contratos" sheetId="2" r:id="R0620a43923fc4a3b"/>
    <x:sheet xmlns:r="http://schemas.openxmlformats.org/officeDocument/2006/relationships" name="Reservas" sheetId="3" r:id="R7dd2ae313cca4820"/>
    <x:sheet xmlns:r="http://schemas.openxmlformats.org/officeDocument/2006/relationships" name="Cálculo" sheetId="4" r:id="R66b3431a29f045ae"/>
    <x:sheet xmlns:r="http://schemas.openxmlformats.org/officeDocument/2006/relationships" name="Eventos" sheetId="5" r:id="Rab8978a4bfce4d2c"/>
    <x:sheet xmlns:r="http://schemas.openxmlformats.org/officeDocument/2006/relationships" name="Statement" sheetId="6" r:id="R67fed055f1d04354"/>
    <x:sheet xmlns:r="http://schemas.openxmlformats.org/officeDocument/2006/relationships" name="Conciliación" sheetId="7" r:id="R4ae671436949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;(#,##0);0"/>
    <x:numFmt numFmtId="202" formatCode="0.0%"/>
  </x:numFmts>
  <x:fonts count="8">
    <x:font>
      <x:sz val="11"/>
      <x:name val="Carlito"/>
    </x:font>
    <x:font>
      <x:sz val="11"/>
      <x:color rgb="FF000000"/>
      <x:name val="Aptos"/>
    </x:font>
    <x:font>
      <x:b/>
      <x:sz val="16"/>
      <x:color rgb="FF183153"/>
      <x:name val="Aptos"/>
    </x:font>
    <x:font>
      <x:i/>
      <x:sz val="10"/>
      <x:color rgb="FF52647A"/>
      <x:name val="Aptos"/>
    </x:font>
    <x:font>
      <x:b/>
      <x:sz val="10"/>
      <x:color rgb="FFFFFFFF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b/>
      <x:sz val="11"/>
      <x:color rgb="FF18315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1F7"/>
      </x:patternFill>
    </x:fill>
  </x:fills>
  <x:borders count="5">
    <x:border/>
    <x:border>
      <x:bottom style="thin">
        <x:color rgb="FF183153"/>
      </x:bottom>
    </x:border>
    <x:border>
      <x:left style="thin">
        <x:color rgb="FFDCE5ED"/>
      </x:left>
      <x:right style="thin">
        <x:color rgb="FFDCE5ED"/>
      </x:right>
      <x:top style="thin">
        <x:color rgb="FFDCE5ED"/>
      </x:top>
      <x:bottom style="thin">
        <x:color rgb="FFDCE5ED"/>
      </x:bottom>
    </x:border>
    <x:border>
      <x:left style="thin">
        <x:color rgb="FFBCCBD9"/>
      </x:left>
      <x:right style="thin">
        <x:color rgb="FFBCCBD9"/>
      </x:right>
      <x:top style="thin">
        <x:color rgb="FFBCCBD9"/>
      </x:top>
      <x:bottom style="thin">
        <x:color rgb="FFBCCBD9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5" fillId="0" borderId="0" xfId="0" applyNumberFormat="1" applyFont="1" applyFill="1" applyBorder="1"/>
    <x:xf numFmtId="201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7" fillId="3" borderId="0" xfId="0" applyNumberFormat="1" applyFont="1" applyFill="1" applyBorder="1"/>
    <x:xf numFmtId="201" fontId="7" fillId="3" borderId="0" xfId="0" applyNumberFormat="1" applyFont="1" applyFill="1" applyBorder="1"/>
    <x:xf numFmtId="0" fontId="7" fillId="3" borderId="3" xfId="0" applyNumberFormat="1" applyFont="1" applyFill="1" applyBorder="1"/>
    <x:xf numFmtId="201" fontId="7" fillId="3" borderId="3" xfId="0" applyNumberFormat="1" applyFont="1" applyFill="1" applyBorder="1"/>
    <x:xf numFmtId="0" fontId="1" fillId="0" borderId="4" xfId="0" applyNumberFormat="1" applyFont="1" applyFill="1" applyBorder="1"/>
    <x:xf numFmtId="200" fontId="1" fillId="0" borderId="4" xfId="0" applyNumberFormat="1" applyFont="1" applyFill="1" applyBorder="1"/>
    <x:xf numFmtId="202" fontId="5" fillId="0" borderId="4" xfId="0" applyNumberFormat="1" applyFont="1" applyFill="1" applyBorder="1"/>
    <x:xf numFmtId="201" fontId="5" fillId="0" borderId="4" xfId="0" applyNumberFormat="1" applyFont="1" applyFill="1" applyBorder="1"/>
    <x:xf numFmtId="0" fontId="6" fillId="0" borderId="4" xfId="0" applyNumberFormat="1" applyFont="1" applyFill="1" applyBorder="1"/>
    <x:xf numFmtId="201" fontId="6" fillId="0" borderId="4" xfId="0" applyNumberFormat="1" applyFont="1" applyFill="1" applyBorder="1"/>
    <x:xf numFmtId="202" fontId="6" fillId="0" borderId="4" xfId="0" applyNumberFormat="1" applyFont="1" applyFill="1" applyBorder="1"/>
    <x:xf numFmtId="201" fontId="1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1f91cc64854679" /><Relationship Type="http://schemas.openxmlformats.org/officeDocument/2006/relationships/theme" Target="/xl/theme/theme1.xml" Id="Ra12a666508774493" /><Relationship Type="http://schemas.openxmlformats.org/officeDocument/2006/relationships/sharedStrings" Target="/xl/sharedStrings.xml" Id="R44f39ceef24542f6" /><Relationship Type="http://schemas.openxmlformats.org/officeDocument/2006/relationships/worksheet" Target="/xl/worksheets/sheet1.xml" Id="Rd7b1f03e2e694fde" /><Relationship Type="http://schemas.openxmlformats.org/officeDocument/2006/relationships/worksheet" Target="/xl/worksheets/sheet2.xml" Id="R0620a43923fc4a3b" /><Relationship Type="http://schemas.openxmlformats.org/officeDocument/2006/relationships/worksheet" Target="/xl/worksheets/sheet3.xml" Id="R7dd2ae313cca4820" /><Relationship Type="http://schemas.openxmlformats.org/officeDocument/2006/relationships/worksheet" Target="/xl/worksheets/sheet4.xml" Id="R66b3431a29f045ae" /><Relationship Type="http://schemas.openxmlformats.org/officeDocument/2006/relationships/worksheet" Target="/xl/worksheets/sheet5.xml" Id="Rab8978a4bfce4d2c" /><Relationship Type="http://schemas.openxmlformats.org/officeDocument/2006/relationships/worksheet" Target="/xl/worksheets/sheet6.xml" Id="R67fed055f1d04354" /><Relationship Type="http://schemas.openxmlformats.org/officeDocument/2006/relationships/worksheet" Target="/xl/worksheets/sheet7.xml" Id="R4ae67143694945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94" hidden="0" customWidth="1"/>
    <x:col min="3" max="3" width="20" hidden="0" customWidth="1"/>
  </x:cols>
  <x:sheetData>
    <x:row r="1">
      <x:c r="A1" s="1"/>
      <x:c r="B1" s="1"/>
      <x:c r="C1" s="1"/>
    </x:row>
    <x:row r="2">
      <x:c r="A2" s="3" t="str">
        <x:v>Ejemplos F0</x:v>
      </x:c>
      <x:c r="B2" s="4"/>
      <x:c r="C2" s="4"/>
    </x:row>
    <x:row r="3">
      <x:c r="A3" s="5" t="str">
        <x:v>Dos agencias ficticias · MXN · cifras monetarias en centavos</x:v>
      </x:c>
      <x:c r="B3" s="1"/>
      <x:c r="C3" s="1"/>
    </x:row>
    <x:row r="4">
      <x:c r="A4" s="1"/>
      <x:c r="B4" s="1"/>
      <x:c r="C4" s="1"/>
    </x:row>
    <x:row r="5" ht="30" customHeight="1">
      <x:c r="A5" s="10" t="str">
        <x:v>Tema</x:v>
      </x:c>
      <x:c r="B5" s="10" t="str">
        <x:v>Supuesto / decisión para el mock</x:v>
      </x:c>
      <x:c r="C5" s="10" t="str">
        <x:v>Estado</x:v>
      </x:c>
    </x:row>
    <x:row r="6" ht="38" customHeight="1">
      <x:c r="A6" s="11" t="str">
        <x:v>Origen</x:v>
      </x:c>
      <x:c r="B6" s="12" t="str">
        <x:v>Datos inventados para probar el flujo; no proceden de clientes ni contratos reales.</x:v>
      </x:c>
      <x:c r="C6" s="11" t="str">
        <x:v>Sintético</x:v>
      </x:c>
    </x:row>
    <x:row r="7" ht="38" customHeight="1">
      <x:c r="A7" s="11" t="str">
        <x:v>Moneda</x:v>
      </x:c>
      <x:c r="B7" s="12" t="str">
        <x:v>MXN en ambas agencias; una sola moneda operativa por organización; sin FX.</x:v>
      </x:c>
      <x:c r="C7" s="11" t="str">
        <x:v>Por validar</x:v>
      </x:c>
    </x:row>
    <x:row r="8" ht="38" customHeight="1">
      <x:c r="A8" s="11" t="str">
        <x:v>Base</x:v>
      </x:c>
      <x:c r="B8" s="12" t="str">
        <x:v>Comisión sobre base elegible sin impuestos; el transfer del paquete no comisiona.</x:v>
      </x:c>
      <x:c r="C8" s="11" t="str">
        <x:v>Por validar</x:v>
      </x:c>
    </x:row>
    <x:row r="9" ht="38" customHeight="1">
      <x:c r="A9" s="11" t="str">
        <x:v>Tier</x:v>
      </x:c>
      <x:c r="B9" s="12" t="str">
        <x:v>Una tasa para toda la base según el tramo alcanzado; límites inferiores inclusivos.</x:v>
      </x:c>
      <x:c r="C9" s="11" t="str">
        <x:v>Por validar</x:v>
      </x:c>
    </x:row>
    <x:row r="10" ht="38" customHeight="1">
      <x:c r="A10" s="11" t="str">
        <x:v>Redondeo</x:v>
      </x:c>
      <x:c r="B10" s="12" t="str">
        <x:v>Al centavo, HALF_UP. Los ejemplos elegidos no tienen fracciones de centavo.</x:v>
      </x:c>
      <x:c r="C10" s="11" t="str">
        <x:v>Por validar</x:v>
      </x:c>
    </x:row>
    <x:row r="11" ht="38" customHeight="1">
      <x:c r="A11" s="11" t="str">
        <x:v>Split</x:v>
      </x:c>
      <x:c r="B11" s="12" t="str">
        <x:v>Sobre comisión bruta; advisor 70 % en Horizonte y 80 % en Ruta Clara. Host recibe el resto.</x:v>
      </x:c>
      <x:c r="C11" s="11" t="str">
        <x:v>Por validar</x:v>
      </x:c>
    </x:row>
    <x:row r="12" ht="38" customHeight="1">
      <x:c r="A12" s="11" t="str">
        <x:v>Cancelación</x:v>
      </x:c>
      <x:c r="B12" s="12" t="str">
        <x:v>Revierte exactamente la comisión y el split de la venta original, una sola vez.</x:v>
      </x:c>
      <x:c r="C12" s="11" t="str">
        <x:v>Por validar</x:v>
      </x:c>
    </x:row>
    <x:row r="13" ht="38" customHeight="1">
      <x:c r="A13" s="11" t="str">
        <x:v>Statement</x:v>
      </x:c>
      <x:c r="B13" s="12" t="str">
        <x:v>Importes con signo: pago positivo, clawback negativo; se concilia por organización y reserva.</x:v>
      </x:c>
      <x:c r="C13" s="11" t="str">
        <x:v>Por validar</x:v>
      </x:c>
    </x:row>
    <x:row r="14" ht="38" customHeight="1">
      <x:c r="A14" s="11" t="str">
        <x:v>Alcance</x:v>
      </x:c>
      <x:c r="B14" s="12" t="str">
        <x:v>No modela IVA, retenciones, FX, pagos al agente ni asiento contable.</x:v>
      </x:c>
      <x:c r="C14" s="11" t="str">
        <x:v>Fuera del mock</x:v>
      </x:c>
    </x:row>
    <x:row r="15" ht="38" customHeight="1">
      <x:c r="A15" s="11" t="str">
        <x:v>Agencia HZ</x:v>
      </x:c>
      <x:c r="B15" s="12" t="str">
        <x:v>Horizonte Demo: host agency, proveedor hotelero, paquete hotel + transfer.</x:v>
      </x:c>
      <x:c r="C15" s="11" t="str">
        <x:v>Ficticia</x:v>
      </x:c>
    </x:row>
    <x:row r="16" ht="38" customHeight="1">
      <x:c r="A16" s="11" t="str">
        <x:v>Agencia RC</x:v>
      </x:c>
      <x:c r="B16" s="12" t="str">
        <x:v>Ruta Clara Demo: tours con tier y actividad con comisión fija.</x:v>
      </x:c>
      <x:c r="C16" s="11" t="str">
        <x:v>Ficticia</x:v>
      </x:c>
    </x:row>
    <x:row r="17">
      <x:c r="A17" s="1"/>
      <x:c r="B17" s="1"/>
      <x:c r="C17" s="1"/>
    </x:row>
    <x:row r="18">
      <x:c r="A18" s="1"/>
      <x:c r="B18" s="1"/>
      <x:c r="C18" s="1"/>
    </x:row>
    <x:row r="19">
      <x:c r="A19" s="7" t="str">
        <x:v>Decisión pendiente</x:v>
      </x:c>
      <x:c r="B19" s="7" t="str">
        <x:v>Pregunta para validar con contratos y agencias reales</x:v>
      </x:c>
      <x:c r="C19" s="7" t="str">
        <x:v>Responsable</x:v>
      </x:c>
    </x:row>
    <x:row r="20" ht="34" customHeight="1">
      <x:c r="A20" s="1" t="str">
        <x:v>Base</x:v>
      </x:c>
      <x:c r="B20" s="13" t="str">
        <x:v>¿Precio de venta, neto de impuestos o base contractual distinta?</x:v>
      </x:c>
      <x:c r="C20" s="1" t="str">
        <x:v>Responsable comercial</x:v>
      </x:c>
    </x:row>
    <x:row r="21" ht="34" customHeight="1">
      <x:c r="A21" t="str">
        <x:v>Tiers</x:v>
      </x:c>
      <x:c r="B21" s="14" t="str">
        <x:v>¿Tramo sobre toda la operación o cálculo marginal? ¿Qué fecha mide el volumen?</x:v>
      </x:c>
      <x:c r="C21" t="str">
        <x:v>Responsable financiero</x:v>
      </x:c>
    </x:row>
    <x:row r="22" ht="34" customHeight="1">
      <x:c r="A22" t="str">
        <x:v>Split</x:v>
      </x:c>
      <x:c r="B22" s="14" t="str">
        <x:v>¿Es el porcentaje del advisor sobre gross o sobre net de agencia?</x:v>
      </x:c>
      <x:c r="C22" t="str">
        <x:v>Responsable financiero</x:v>
      </x:c>
    </x:row>
    <x:row r="23" ht="34" customHeight="1">
      <x:c r="A23" t="str">
        <x:v>Cancelación</x:v>
      </x:c>
      <x:c r="B23" s="14" t="str">
        <x:v>¿Cuándo se revierte y cómo se trata una devolución parcial?</x:v>
      </x:c>
      <x:c r="C23" t="str">
        <x:v>Responsable financiero</x:v>
      </x:c>
    </x:row>
    <x:row r="24" ht="34" customHeight="1">
      <x:c r="A24" t="str">
        <x:v>Statement</x:v>
      </x:c>
      <x:c r="B24" s="14" t="str">
        <x:v>¿Qué identificador y calendario usa el proveedor para conciliar?</x:v>
      </x:c>
      <x:c r="C24" t="str">
        <x:v>Agencia / proveedor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12" hidden="0" customWidth="1"/>
    <x:col min="9" max="9" width="15" hidden="0" customWidth="1"/>
    <x:col min="10" max="10" width="17" hidden="0" customWidth="1"/>
    <x:col min="11" max="11" width="12" hidden="0" customWidth="1"/>
    <x:col min="12" max="12" width="17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3" t="str">
        <x:v>Contratos simulados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5" t="str">
        <x:v>Vigencia [inicio, fin) · tasas y montos son supuestos editables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0" customHeight="1">
      <x:c r="A5" s="10" t="str">
        <x:v>Org</x:v>
      </x:c>
      <x:c r="B5" s="10" t="str">
        <x:v>Contrato</x:v>
      </x:c>
      <x:c r="C5" s="10" t="str">
        <x:v>Proveedor</x:v>
      </x:c>
      <x:c r="D5" s="10" t="str">
        <x:v>Producto</x:v>
      </x:c>
      <x:c r="E5" s="10" t="str">
        <x:v>Desde</x:v>
      </x:c>
      <x:c r="F5" s="10" t="str">
        <x:v>Hasta</x:v>
      </x:c>
      <x:c r="G5" s="10" t="str">
        <x:v>Tipo</x:v>
      </x:c>
      <x:c r="H5" s="10" t="str">
        <x:v>Tasa</x:v>
      </x:c>
      <x:c r="I5" s="10" t="str">
        <x:v>Fijo minor</x:v>
      </x:c>
      <x:c r="J5" s="10" t="str">
        <x:v>Límite 1 excl</x:v>
      </x:c>
      <x:c r="K5" s="10" t="str">
        <x:v>Tasa 1</x:v>
      </x:c>
      <x:c r="L5" s="10" t="str">
        <x:v>Límite 2 excl</x:v>
      </x:c>
      <x:c r="M5" s="10" t="str">
        <x:v>Tasa 2</x:v>
      </x:c>
      <x:c r="N5" s="10" t="str">
        <x:v>Tasa 3</x:v>
      </x:c>
      <x:c r="O5" s="10" t="str">
        <x:v>Advisor</x:v>
      </x:c>
      <x:c r="P5" s="10" t="str">
        <x:v>Host</x:v>
      </x:c>
    </x:row>
    <x:row r="6" ht="25" customHeight="1">
      <x:c r="A6" s="29" t="str">
        <x:v>HZ</x:v>
      </x:c>
      <x:c r="B6" s="29" t="str">
        <x:v>HZ-HOTEL-26</x:v>
      </x:c>
      <x:c r="C6" s="29" t="str">
        <x:v>HOTEL_NORTE</x:v>
      </x:c>
      <x:c r="D6" s="29" t="str">
        <x:v>Hotel</x:v>
      </x:c>
      <x:c r="E6" s="30" t="n">
        <x:v>46174</x:v>
      </x:c>
      <x:c r="F6" s="30" t="n">
        <x:v>46388</x:v>
      </x:c>
      <x:c r="G6" s="29" t="str">
        <x:v>percentage</x:v>
      </x:c>
      <x:c r="H6" s="31" t="n">
        <x:v>0.12</x:v>
      </x:c>
      <x:c r="I6" s="32"/>
      <x:c r="J6" s="32"/>
      <x:c r="K6" s="31"/>
      <x:c r="L6" s="32"/>
      <x:c r="M6" s="31"/>
      <x:c r="N6" s="31"/>
      <x:c r="O6" s="31" t="n">
        <x:v>0.7</x:v>
      </x:c>
      <x:c r="P6" s="31" t="n">
        <x:v>0.3</x:v>
      </x:c>
    </x:row>
    <x:row r="7" ht="25" customHeight="1">
      <x:c r="A7" s="29" t="str">
        <x:v>RC</x:v>
      </x:c>
      <x:c r="B7" s="29" t="str">
        <x:v>RC-TOUR-26</x:v>
      </x:c>
      <x:c r="C7" s="29" t="str">
        <x:v>TOURS_RUTA</x:v>
      </x:c>
      <x:c r="D7" s="29" t="str">
        <x:v>Tour</x:v>
      </x:c>
      <x:c r="E7" s="30" t="n">
        <x:v>46174</x:v>
      </x:c>
      <x:c r="F7" s="30" t="n">
        <x:v>46388</x:v>
      </x:c>
      <x:c r="G7" s="29" t="str">
        <x:v>tiered</x:v>
      </x:c>
      <x:c r="H7" s="31"/>
      <x:c r="I7" s="32"/>
      <x:c r="J7" s="32" t="n">
        <x:v>500000</x:v>
      </x:c>
      <x:c r="K7" s="31" t="n">
        <x:v>0.05</x:v>
      </x:c>
      <x:c r="L7" s="32" t="n">
        <x:v>1000000</x:v>
      </x:c>
      <x:c r="M7" s="31" t="n">
        <x:v>0.07</x:v>
      </x:c>
      <x:c r="N7" s="31" t="n">
        <x:v>0.09</x:v>
      </x:c>
      <x:c r="O7" s="31" t="n">
        <x:v>0.8</x:v>
      </x:c>
      <x:c r="P7" s="31" t="n">
        <x:v>0.2</x:v>
      </x:c>
    </x:row>
    <x:row r="8" ht="25" customHeight="1">
      <x:c r="A8" s="29" t="str">
        <x:v>RC</x:v>
      </x:c>
      <x:c r="B8" s="29" t="str">
        <x:v>RC-ACT-26</x:v>
      </x:c>
      <x:c r="C8" s="29" t="str">
        <x:v>ACTIVIDADES_RUTA</x:v>
      </x:c>
      <x:c r="D8" s="29" t="str">
        <x:v>Actividad</x:v>
      </x:c>
      <x:c r="E8" s="30" t="n">
        <x:v>46174</x:v>
      </x:c>
      <x:c r="F8" s="30" t="n">
        <x:v>46388</x:v>
      </x:c>
      <x:c r="G8" s="29" t="str">
        <x:v>fixed</x:v>
      </x:c>
      <x:c r="H8" s="31"/>
      <x:c r="I8" s="32" t="n">
        <x:v>5000</x:v>
      </x:c>
      <x:c r="J8" s="32"/>
      <x:c r="K8" s="31"/>
      <x:c r="L8" s="32"/>
      <x:c r="M8" s="31"/>
      <x:c r="N8" s="31"/>
      <x:c r="O8" s="31" t="n">
        <x:v>0.8</x:v>
      </x:c>
      <x:c r="P8" s="31" t="n">
        <x:v>0.2</x:v>
      </x:c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20" hidden="0" customWidth="1"/>
    <x:col min="5" max="5" width="25" hidden="0" customWidth="1"/>
    <x:col min="6" max="6" width="22" hidden="0" customWidth="1"/>
    <x:col min="7" max="7" width="18" hidden="0" customWidth="1"/>
    <x:col min="8" max="8" width="18" hidden="0" customWidth="1"/>
    <x:col min="9" max="9" width="16" hidden="0" customWidth="1"/>
    <x:col min="10" max="10" width="17" hidden="0" customWidth="1"/>
    <x:col min="11" max="11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Reservas simuladas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5" t="str">
        <x:v>Una fila por componente · venta y base elegible en centavos MXN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0" customHeight="1">
      <x:c r="A5" s="10" t="str">
        <x:v>Org</x:v>
      </x:c>
      <x:c r="B5" s="10" t="str">
        <x:v>Reserva</x:v>
      </x:c>
      <x:c r="C5" s="10" t="str">
        <x:v>Producto</x:v>
      </x:c>
      <x:c r="D5" s="10" t="str">
        <x:v>Componente</x:v>
      </x:c>
      <x:c r="E5" s="10" t="str">
        <x:v>Proveedor</x:v>
      </x:c>
      <x:c r="F5" s="10" t="str">
        <x:v>Contrato</x:v>
      </x:c>
      <x:c r="G5" s="10" t="str">
        <x:v>Venta minor</x:v>
      </x:c>
      <x:c r="H5" s="10" t="str">
        <x:v>Base minor</x:v>
      </x:c>
      <x:c r="I5" s="10" t="str">
        <x:v>Advisor</x:v>
      </x:c>
      <x:c r="J5" s="10" t="str">
        <x:v>Venta fecha</x:v>
      </x:c>
      <x:c r="K5" s="10" t="str">
        <x:v>Viaje fecha</x:v>
      </x:c>
    </x:row>
    <x:row r="6" ht="25" customHeight="1">
      <x:c r="A6" s="29" t="str">
        <x:v>HZ</x:v>
      </x:c>
      <x:c r="B6" s="29" t="str">
        <x:v>HZ-001</x:v>
      </x:c>
      <x:c r="C6" s="29" t="str">
        <x:v>Paquete</x:v>
      </x:c>
      <x:c r="D6" s="29" t="str">
        <x:v>Hotel</x:v>
      </x:c>
      <x:c r="E6" s="29" t="str">
        <x:v>HOTEL_NORTE</x:v>
      </x:c>
      <x:c r="F6" s="29" t="str">
        <x:v>HZ-HOTEL-26</x:v>
      </x:c>
      <x:c r="G6" s="32" t="n">
        <x:v>200000</x:v>
      </x:c>
      <x:c r="H6" s="32" t="n">
        <x:v>200000</x:v>
      </x:c>
      <x:c r="I6" s="29" t="str">
        <x:v>ADV-HZ-1</x:v>
      </x:c>
      <x:c r="J6" s="30" t="n">
        <x:v>46204</x:v>
      </x:c>
      <x:c r="K6" s="30" t="n">
        <x:v>46249</x:v>
      </x:c>
    </x:row>
    <x:row r="7" ht="25" customHeight="1">
      <x:c r="A7" s="29" t="str">
        <x:v>HZ</x:v>
      </x:c>
      <x:c r="B7" s="29" t="str">
        <x:v>HZ-001</x:v>
      </x:c>
      <x:c r="C7" s="29" t="str">
        <x:v>Paquete</x:v>
      </x:c>
      <x:c r="D7" s="29" t="str">
        <x:v>Transfer</x:v>
      </x:c>
      <x:c r="E7" s="29" t="str">
        <x:v>TRANSFER_LOCAL</x:v>
      </x:c>
      <x:c r="F7" s="29" t="str">
        <x:v>–</x:v>
      </x:c>
      <x:c r="G7" s="32" t="n">
        <x:v>50000</x:v>
      </x:c>
      <x:c r="H7" s="32" t="n">
        <x:v>0</x:v>
      </x:c>
      <x:c r="I7" s="29" t="str">
        <x:v>ADV-HZ-1</x:v>
      </x:c>
      <x:c r="J7" s="30" t="n">
        <x:v>46204</x:v>
      </x:c>
      <x:c r="K7" s="30" t="n">
        <x:v>46249</x:v>
      </x:c>
    </x:row>
    <x:row r="8" ht="25" customHeight="1">
      <x:c r="A8" s="29" t="str">
        <x:v>HZ</x:v>
      </x:c>
      <x:c r="B8" s="29" t="str">
        <x:v>HZ-002</x:v>
      </x:c>
      <x:c r="C8" s="29" t="str">
        <x:v>Hotel simple</x:v>
      </x:c>
      <x:c r="D8" s="29" t="str">
        <x:v>Hotel</x:v>
      </x:c>
      <x:c r="E8" s="29" t="str">
        <x:v>HOTEL_NORTE</x:v>
      </x:c>
      <x:c r="F8" s="29" t="str">
        <x:v>HZ-HOTEL-26</x:v>
      </x:c>
      <x:c r="G8" s="32" t="n">
        <x:v>100000</x:v>
      </x:c>
      <x:c r="H8" s="32" t="n">
        <x:v>100000</x:v>
      </x:c>
      <x:c r="I8" s="29" t="str">
        <x:v>ADV-HZ-1</x:v>
      </x:c>
      <x:c r="J8" s="30" t="n">
        <x:v>46205</x:v>
      </x:c>
      <x:c r="K8" s="30" t="n">
        <x:v>46266</x:v>
      </x:c>
    </x:row>
    <x:row r="9" ht="25" customHeight="1">
      <x:c r="A9" s="29" t="str">
        <x:v>RC</x:v>
      </x:c>
      <x:c r="B9" s="29" t="str">
        <x:v>RC-001</x:v>
      </x:c>
      <x:c r="C9" s="29" t="str">
        <x:v>Tour simple</x:v>
      </x:c>
      <x:c r="D9" s="29" t="str">
        <x:v>Tour</x:v>
      </x:c>
      <x:c r="E9" s="29" t="str">
        <x:v>TOURS_RUTA</x:v>
      </x:c>
      <x:c r="F9" s="29" t="str">
        <x:v>RC-TOUR-26</x:v>
      </x:c>
      <x:c r="G9" s="32" t="n">
        <x:v>800000</x:v>
      </x:c>
      <x:c r="H9" s="32" t="n">
        <x:v>800000</x:v>
      </x:c>
      <x:c r="I9" s="29" t="str">
        <x:v>ADV-RC-1</x:v>
      </x:c>
      <x:c r="J9" s="30" t="n">
        <x:v>46206</x:v>
      </x:c>
      <x:c r="K9" s="30" t="n">
        <x:v>46300</x:v>
      </x:c>
    </x:row>
    <x:row r="10" ht="25" customHeight="1">
      <x:c r="A10" s="29" t="str">
        <x:v>RC</x:v>
      </x:c>
      <x:c r="B10" s="29" t="str">
        <x:v>RC-002</x:v>
      </x:c>
      <x:c r="C10" s="29" t="str">
        <x:v>Tour simple</x:v>
      </x:c>
      <x:c r="D10" s="29" t="str">
        <x:v>Tour</x:v>
      </x:c>
      <x:c r="E10" s="29" t="str">
        <x:v>TOURS_RUTA</x:v>
      </x:c>
      <x:c r="F10" s="29" t="str">
        <x:v>RC-TOUR-26</x:v>
      </x:c>
      <x:c r="G10" s="32" t="n">
        <x:v>500000</x:v>
      </x:c>
      <x:c r="H10" s="32" t="n">
        <x:v>500000</x:v>
      </x:c>
      <x:c r="I10" s="29" t="str">
        <x:v>ADV-RC-1</x:v>
      </x:c>
      <x:c r="J10" s="30" t="n">
        <x:v>46207</x:v>
      </x:c>
      <x:c r="K10" s="30" t="n">
        <x:v>46301</x:v>
      </x:c>
    </x:row>
    <x:row r="11" ht="25" customHeight="1">
      <x:c r="A11" s="29" t="str">
        <x:v>RC</x:v>
      </x:c>
      <x:c r="B11" s="29" t="str">
        <x:v>RC-003</x:v>
      </x:c>
      <x:c r="C11" s="29" t="str">
        <x:v>Actividad</x:v>
      </x:c>
      <x:c r="D11" s="29" t="str">
        <x:v>Excursión</x:v>
      </x:c>
      <x:c r="E11" s="29" t="str">
        <x:v>ACTIVIDADES_RUTA</x:v>
      </x:c>
      <x:c r="F11" s="29" t="str">
        <x:v>RC-ACT-26</x:v>
      </x:c>
      <x:c r="G11" s="32" t="n">
        <x:v>300000</x:v>
      </x:c>
      <x:c r="H11" s="32" t="n">
        <x:v>300000</x:v>
      </x:c>
      <x:c r="I11" s="29" t="str">
        <x:v>ADV-RC-2</x:v>
      </x:c>
      <x:c r="J11" s="30" t="n">
        <x:v>46208</x:v>
      </x:c>
      <x:c r="K11" s="30" t="n">
        <x:v>46336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22" hidden="0" customWidth="1"/>
    <x:col min="5" max="5" width="18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Comisión esperada por componente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5" t="str">
        <x:v>Base, comisión y split en centavos; fórmulas enlazadas a contratos y reservas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10" t="str">
        <x:v>Org</x:v>
      </x:c>
      <x:c r="B5" s="10" t="str">
        <x:v>Reserva</x:v>
      </x:c>
      <x:c r="C5" s="10" t="str">
        <x:v>Componente</x:v>
      </x:c>
      <x:c r="D5" s="10" t="str">
        <x:v>Contrato</x:v>
      </x:c>
      <x:c r="E5" s="10" t="str">
        <x:v>Base minor</x:v>
      </x:c>
      <x:c r="F5" s="10" t="str">
        <x:v>Tipo</x:v>
      </x:c>
      <x:c r="G5" s="10" t="str">
        <x:v>Tasa elegida</x:v>
      </x:c>
      <x:c r="H5" s="10" t="str">
        <x:v>Fijo minor</x:v>
      </x:c>
      <x:c r="I5" s="10" t="str">
        <x:v>Bruta venta</x:v>
      </x:c>
      <x:c r="J5" s="10" t="str">
        <x:v>Advisor %</x:v>
      </x:c>
      <x:c r="K5" s="10" t="str">
        <x:v>Advisor venta</x:v>
      </x:c>
      <x:c r="L5" s="10" t="str">
        <x:v>Host venta</x:v>
      </x:c>
    </x:row>
    <x:row r="6" ht="25" customHeight="1">
      <x:c r="A6" s="33" t="str">
        <x:f>'Reservas'!A6</x:f>
        <x:v>HZ</x:v>
      </x:c>
      <x:c r="B6" s="33" t="str">
        <x:f>'Reservas'!B6</x:f>
        <x:v>HZ-001</x:v>
      </x:c>
      <x:c r="C6" s="33" t="str">
        <x:f>'Reservas'!D6</x:f>
        <x:v>Hotel</x:v>
      </x:c>
      <x:c r="D6" s="33" t="str">
        <x:f>'Reservas'!F6</x:f>
        <x:v>HZ-HOTEL-26</x:v>
      </x:c>
      <x:c r="E6" s="34" t="n">
        <x:f>'Reservas'!H6</x:f>
        <x:v>200000</x:v>
      </x:c>
      <x:c r="F6" s="33" t="str">
        <x:f>'Contratos'!G6</x:f>
        <x:v>percentage</x:v>
      </x:c>
      <x:c r="G6" s="35" t="n">
        <x:f>'Contratos'!H6</x:f>
        <x:v>0.12</x:v>
      </x:c>
      <x:c r="H6" s="34" t="n">
        <x:f>0</x:f>
        <x:v>0</x:v>
      </x:c>
      <x:c r="I6" s="36" t="n">
        <x:f>IF(F6="fixed",H6,ROUND(E6*G6,0))</x:f>
        <x:v>24000</x:v>
      </x:c>
      <x:c r="J6" s="35" t="n">
        <x:f>'Contratos'!O6</x:f>
        <x:v>0.7</x:v>
      </x:c>
      <x:c r="K6" s="36" t="n">
        <x:f>ROUND(I6*J6,0)</x:f>
        <x:v>16800</x:v>
      </x:c>
      <x:c r="L6" s="36" t="n">
        <x:f>I6-K6</x:f>
        <x:v>7200</x:v>
      </x:c>
    </x:row>
    <x:row r="7" ht="25" customHeight="1">
      <x:c r="A7" s="33" t="str">
        <x:f>'Reservas'!A7</x:f>
        <x:v>HZ</x:v>
      </x:c>
      <x:c r="B7" s="33" t="str">
        <x:f>'Reservas'!B7</x:f>
        <x:v>HZ-001</x:v>
      </x:c>
      <x:c r="C7" s="33" t="str">
        <x:f>'Reservas'!D7</x:f>
        <x:v>Transfer</x:v>
      </x:c>
      <x:c r="D7" s="33" t="str">
        <x:f>'Reservas'!F7</x:f>
        <x:v>–</x:v>
      </x:c>
      <x:c r="E7" s="34" t="n">
        <x:f>'Reservas'!H7</x:f>
        <x:v>0</x:v>
      </x:c>
      <x:c r="F7" s="33" t="str">
        <x:f>IF(E7=0,"none","missing contract")</x:f>
        <x:v>none</x:v>
      </x:c>
      <x:c r="G7" s="35" t="n">
        <x:f>0</x:f>
        <x:v>0</x:v>
      </x:c>
      <x:c r="H7" s="34" t="n">
        <x:f>0</x:f>
        <x:v>0</x:v>
      </x:c>
      <x:c r="I7" s="36" t="n">
        <x:f>IF(F7="fixed",H7,ROUND(E7*G7,0))</x:f>
        <x:v>0</x:v>
      </x:c>
      <x:c r="J7" s="35" t="n">
        <x:f>0</x:f>
        <x:v>0</x:v>
      </x:c>
      <x:c r="K7" s="36" t="n">
        <x:f>ROUND(I7*J7,0)</x:f>
        <x:v>0</x:v>
      </x:c>
      <x:c r="L7" s="36" t="n">
        <x:f>I7-K7</x:f>
        <x:v>0</x:v>
      </x:c>
    </x:row>
    <x:row r="8" ht="25" customHeight="1">
      <x:c r="A8" s="33" t="str">
        <x:f>'Reservas'!A8</x:f>
        <x:v>HZ</x:v>
      </x:c>
      <x:c r="B8" s="33" t="str">
        <x:f>'Reservas'!B8</x:f>
        <x:v>HZ-002</x:v>
      </x:c>
      <x:c r="C8" s="33" t="str">
        <x:f>'Reservas'!D8</x:f>
        <x:v>Hotel</x:v>
      </x:c>
      <x:c r="D8" s="33" t="str">
        <x:f>'Reservas'!F8</x:f>
        <x:v>HZ-HOTEL-26</x:v>
      </x:c>
      <x:c r="E8" s="34" t="n">
        <x:f>'Reservas'!H8</x:f>
        <x:v>100000</x:v>
      </x:c>
      <x:c r="F8" s="33" t="str">
        <x:f>'Contratos'!G6</x:f>
        <x:v>percentage</x:v>
      </x:c>
      <x:c r="G8" s="35" t="n">
        <x:f>'Contratos'!H6</x:f>
        <x:v>0.12</x:v>
      </x:c>
      <x:c r="H8" s="34" t="n">
        <x:f>0</x:f>
        <x:v>0</x:v>
      </x:c>
      <x:c r="I8" s="36" t="n">
        <x:f>IF(F8="fixed",H8,ROUND(E8*G8,0))</x:f>
        <x:v>12000</x:v>
      </x:c>
      <x:c r="J8" s="35" t="n">
        <x:f>'Contratos'!O6</x:f>
        <x:v>0.7</x:v>
      </x:c>
      <x:c r="K8" s="36" t="n">
        <x:f>ROUND(I8*J8,0)</x:f>
        <x:v>8400</x:v>
      </x:c>
      <x:c r="L8" s="36" t="n">
        <x:f>I8-K8</x:f>
        <x:v>3600</x:v>
      </x:c>
    </x:row>
    <x:row r="9" ht="25" customHeight="1">
      <x:c r="A9" s="33" t="str">
        <x:f>'Reservas'!A9</x:f>
        <x:v>RC</x:v>
      </x:c>
      <x:c r="B9" s="33" t="str">
        <x:f>'Reservas'!B9</x:f>
        <x:v>RC-001</x:v>
      </x:c>
      <x:c r="C9" s="33" t="str">
        <x:f>'Reservas'!D9</x:f>
        <x:v>Tour</x:v>
      </x:c>
      <x:c r="D9" s="33" t="str">
        <x:f>'Reservas'!F9</x:f>
        <x:v>RC-TOUR-26</x:v>
      </x:c>
      <x:c r="E9" s="34" t="n">
        <x:f>'Reservas'!H9</x:f>
        <x:v>800000</x:v>
      </x:c>
      <x:c r="F9" s="33" t="str">
        <x:f>'Contratos'!G7</x:f>
        <x:v>tiered</x:v>
      </x:c>
      <x:c r="G9" s="35" t="n">
        <x:f>IF(E9&lt;'Contratos'!J7,'Contratos'!K7,IF(E9&lt;'Contratos'!L7,'Contratos'!M7,'Contratos'!N7))</x:f>
        <x:v>0.07</x:v>
      </x:c>
      <x:c r="H9" s="34" t="n">
        <x:f>0</x:f>
        <x:v>0</x:v>
      </x:c>
      <x:c r="I9" s="36" t="n">
        <x:f>IF(F9="fixed",H9,ROUND(E9*G9,0))</x:f>
        <x:v>56000</x:v>
      </x:c>
      <x:c r="J9" s="35" t="n">
        <x:f>'Contratos'!O7</x:f>
        <x:v>0.8</x:v>
      </x:c>
      <x:c r="K9" s="36" t="n">
        <x:f>ROUND(I9*J9,0)</x:f>
        <x:v>44800</x:v>
      </x:c>
      <x:c r="L9" s="36" t="n">
        <x:f>I9-K9</x:f>
        <x:v>11200</x:v>
      </x:c>
    </x:row>
    <x:row r="10" ht="25" customHeight="1">
      <x:c r="A10" s="33" t="str">
        <x:f>'Reservas'!A10</x:f>
        <x:v>RC</x:v>
      </x:c>
      <x:c r="B10" s="33" t="str">
        <x:f>'Reservas'!B10</x:f>
        <x:v>RC-002</x:v>
      </x:c>
      <x:c r="C10" s="33" t="str">
        <x:f>'Reservas'!D10</x:f>
        <x:v>Tour</x:v>
      </x:c>
      <x:c r="D10" s="33" t="str">
        <x:f>'Reservas'!F10</x:f>
        <x:v>RC-TOUR-26</x:v>
      </x:c>
      <x:c r="E10" s="34" t="n">
        <x:f>'Reservas'!H10</x:f>
        <x:v>500000</x:v>
      </x:c>
      <x:c r="F10" s="33" t="str">
        <x:f>'Contratos'!G7</x:f>
        <x:v>tiered</x:v>
      </x:c>
      <x:c r="G10" s="35" t="n">
        <x:f>IF(E10&lt;'Contratos'!J7,'Contratos'!K7,IF(E10&lt;'Contratos'!L7,'Contratos'!M7,'Contratos'!N7))</x:f>
        <x:v>0.07</x:v>
      </x:c>
      <x:c r="H10" s="34" t="n">
        <x:f>0</x:f>
        <x:v>0</x:v>
      </x:c>
      <x:c r="I10" s="36" t="n">
        <x:f>IF(F10="fixed",H10,ROUND(E10*G10,0))</x:f>
        <x:v>35000</x:v>
      </x:c>
      <x:c r="J10" s="35" t="n">
        <x:f>'Contratos'!O7</x:f>
        <x:v>0.8</x:v>
      </x:c>
      <x:c r="K10" s="36" t="n">
        <x:f>ROUND(I10*J10,0)</x:f>
        <x:v>28000</x:v>
      </x:c>
      <x:c r="L10" s="36" t="n">
        <x:f>I10-K10</x:f>
        <x:v>7000</x:v>
      </x:c>
    </x:row>
    <x:row r="11" ht="25" customHeight="1">
      <x:c r="A11" s="33" t="str">
        <x:f>'Reservas'!A11</x:f>
        <x:v>RC</x:v>
      </x:c>
      <x:c r="B11" s="33" t="str">
        <x:f>'Reservas'!B11</x:f>
        <x:v>RC-003</x:v>
      </x:c>
      <x:c r="C11" s="33" t="str">
        <x:f>'Reservas'!D11</x:f>
        <x:v>Excursión</x:v>
      </x:c>
      <x:c r="D11" s="33" t="str">
        <x:f>'Reservas'!F11</x:f>
        <x:v>RC-ACT-26</x:v>
      </x:c>
      <x:c r="E11" s="34" t="n">
        <x:f>'Reservas'!H11</x:f>
        <x:v>300000</x:v>
      </x:c>
      <x:c r="F11" s="33" t="str">
        <x:f>'Contratos'!G8</x:f>
        <x:v>fixed</x:v>
      </x:c>
      <x:c r="G11" s="35" t="n">
        <x:f>0</x:f>
        <x:v>0</x:v>
      </x:c>
      <x:c r="H11" s="34" t="n">
        <x:f>'Contratos'!I8</x:f>
        <x:v>5000</x:v>
      </x:c>
      <x:c r="I11" s="36" t="n">
        <x:f>IF(F11="fixed",H11,ROUND(E11*G11,0))</x:f>
        <x:v>5000</x:v>
      </x:c>
      <x:c r="J11" s="35" t="n">
        <x:f>'Contratos'!O8</x:f>
        <x:v>0.8</x:v>
      </x:c>
      <x:c r="K11" s="36" t="n">
        <x:f>ROUND(I11*J11,0)</x:f>
        <x:v>4000</x:v>
      </x:c>
      <x:c r="L11" s="36" t="n">
        <x:f>I11-K11</x:f>
        <x:v>1000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8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Eventos y reversión</x:v>
      </x:c>
      <x:c r="B2" s="4"/>
      <x:c r="C2" s="4"/>
      <x:c r="D2" s="4"/>
      <x:c r="E2" s="4"/>
      <x:c r="F2" s="4"/>
      <x:c r="G2" s="4"/>
      <x:c r="H2" s="4"/>
    </x:row>
    <x:row r="3">
      <x:c r="A3" s="5" t="str">
        <x:v>La cancelación de HZ-002 revierte exactamente la venta original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0" customHeight="1">
      <x:c r="A5" s="10" t="str">
        <x:v>Org</x:v>
      </x:c>
      <x:c r="B5" s="10" t="str">
        <x:v>Evento</x:v>
      </x:c>
      <x:c r="C5" s="10" t="str">
        <x:v>Reserva</x:v>
      </x:c>
      <x:c r="D5" s="10" t="str">
        <x:v>Tipo</x:v>
      </x:c>
      <x:c r="E5" s="10" t="str">
        <x:v>Fecha</x:v>
      </x:c>
      <x:c r="F5" s="10" t="str">
        <x:v>Bruta delta</x:v>
      </x:c>
      <x:c r="G5" s="10" t="str">
        <x:v>Advisor delta</x:v>
      </x:c>
      <x:c r="H5" s="10" t="str">
        <x:v>Host delta</x:v>
      </x:c>
    </x:row>
    <x:row r="6" ht="25" customHeight="1">
      <x:c r="A6" s="29" t="str">
        <x:v>HZ</x:v>
      </x:c>
      <x:c r="B6" s="29" t="str">
        <x:v>EV-HZ-001</x:v>
      </x:c>
      <x:c r="C6" s="29" t="str">
        <x:v>HZ-001</x:v>
      </x:c>
      <x:c r="D6" s="29" t="str">
        <x:v>Venta</x:v>
      </x:c>
      <x:c r="E6" s="30" t="n">
        <x:v>46204</x:v>
      </x:c>
      <x:c r="F6" s="34" t="n">
        <x:f>IF(D6="Cancelación",-1,1)*SUMIFS('Cálculo'!$I$6:$I$11,'Cálculo'!$A$6:$A$11,A6,'Cálculo'!$B$6:$B$11,C6)</x:f>
        <x:v>24000</x:v>
      </x:c>
      <x:c r="G6" s="34" t="n">
        <x:f>IF(D6="Cancelación",-1,1)*SUMIFS('Cálculo'!$K$6:$K$11,'Cálculo'!$A$6:$A$11,A6,'Cálculo'!$B$6:$B$11,C6)</x:f>
        <x:v>16800</x:v>
      </x:c>
      <x:c r="H6" s="34" t="n">
        <x:f>IF(D6="Cancelación",-1,1)*SUMIFS('Cálculo'!$L$6:$L$11,'Cálculo'!$A$6:$A$11,A6,'Cálculo'!$B$6:$B$11,C6)</x:f>
        <x:v>7200</x:v>
      </x:c>
    </x:row>
    <x:row r="7" ht="25" customHeight="1">
      <x:c r="A7" s="29" t="str">
        <x:v>HZ</x:v>
      </x:c>
      <x:c r="B7" s="29" t="str">
        <x:v>EV-HZ-002</x:v>
      </x:c>
      <x:c r="C7" s="29" t="str">
        <x:v>HZ-002</x:v>
      </x:c>
      <x:c r="D7" s="29" t="str">
        <x:v>Venta</x:v>
      </x:c>
      <x:c r="E7" s="30" t="n">
        <x:v>46205</x:v>
      </x:c>
      <x:c r="F7" s="34" t="n">
        <x:f>IF(D7="Cancelación",-1,1)*SUMIFS('Cálculo'!$I$6:$I$11,'Cálculo'!$A$6:$A$11,A7,'Cálculo'!$B$6:$B$11,C7)</x:f>
        <x:v>12000</x:v>
      </x:c>
      <x:c r="G7" s="34" t="n">
        <x:f>IF(D7="Cancelación",-1,1)*SUMIFS('Cálculo'!$K$6:$K$11,'Cálculo'!$A$6:$A$11,A7,'Cálculo'!$B$6:$B$11,C7)</x:f>
        <x:v>8400</x:v>
      </x:c>
      <x:c r="H7" s="34" t="n">
        <x:f>IF(D7="Cancelación",-1,1)*SUMIFS('Cálculo'!$L$6:$L$11,'Cálculo'!$A$6:$A$11,A7,'Cálculo'!$B$6:$B$11,C7)</x:f>
        <x:v>3600</x:v>
      </x:c>
    </x:row>
    <x:row r="8" ht="25" customHeight="1">
      <x:c r="A8" s="29" t="str">
        <x:v>HZ</x:v>
      </x:c>
      <x:c r="B8" s="29" t="str">
        <x:v>EV-HZ-003</x:v>
      </x:c>
      <x:c r="C8" s="29" t="str">
        <x:v>HZ-002</x:v>
      </x:c>
      <x:c r="D8" s="29" t="str">
        <x:v>Cancelación</x:v>
      </x:c>
      <x:c r="E8" s="30" t="n">
        <x:v>46213</x:v>
      </x:c>
      <x:c r="F8" s="34" t="n">
        <x:f>IF(D8="Cancelación",-1,1)*SUMIFS('Cálculo'!$I$6:$I$11,'Cálculo'!$A$6:$A$11,A8,'Cálculo'!$B$6:$B$11,C8)</x:f>
        <x:v>-12000</x:v>
      </x:c>
      <x:c r="G8" s="34" t="n">
        <x:f>IF(D8="Cancelación",-1,1)*SUMIFS('Cálculo'!$K$6:$K$11,'Cálculo'!$A$6:$A$11,A8,'Cálculo'!$B$6:$B$11,C8)</x:f>
        <x:v>-8400</x:v>
      </x:c>
      <x:c r="H8" s="34" t="n">
        <x:f>IF(D8="Cancelación",-1,1)*SUMIFS('Cálculo'!$L$6:$L$11,'Cálculo'!$A$6:$A$11,A8,'Cálculo'!$B$6:$B$11,C8)</x:f>
        <x:v>-3600</x:v>
      </x:c>
    </x:row>
    <x:row r="9" ht="25" customHeight="1">
      <x:c r="A9" s="29" t="str">
        <x:v>RC</x:v>
      </x:c>
      <x:c r="B9" s="29" t="str">
        <x:v>EV-RC-001</x:v>
      </x:c>
      <x:c r="C9" s="29" t="str">
        <x:v>RC-001</x:v>
      </x:c>
      <x:c r="D9" s="29" t="str">
        <x:v>Venta</x:v>
      </x:c>
      <x:c r="E9" s="30" t="n">
        <x:v>46206</x:v>
      </x:c>
      <x:c r="F9" s="34" t="n">
        <x:f>IF(D9="Cancelación",-1,1)*SUMIFS('Cálculo'!$I$6:$I$11,'Cálculo'!$A$6:$A$11,A9,'Cálculo'!$B$6:$B$11,C9)</x:f>
        <x:v>56000</x:v>
      </x:c>
      <x:c r="G9" s="34" t="n">
        <x:f>IF(D9="Cancelación",-1,1)*SUMIFS('Cálculo'!$K$6:$K$11,'Cálculo'!$A$6:$A$11,A9,'Cálculo'!$B$6:$B$11,C9)</x:f>
        <x:v>44800</x:v>
      </x:c>
      <x:c r="H9" s="34" t="n">
        <x:f>IF(D9="Cancelación",-1,1)*SUMIFS('Cálculo'!$L$6:$L$11,'Cálculo'!$A$6:$A$11,A9,'Cálculo'!$B$6:$B$11,C9)</x:f>
        <x:v>11200</x:v>
      </x:c>
    </x:row>
    <x:row r="10" ht="25" customHeight="1">
      <x:c r="A10" s="29" t="str">
        <x:v>RC</x:v>
      </x:c>
      <x:c r="B10" s="29" t="str">
        <x:v>EV-RC-002</x:v>
      </x:c>
      <x:c r="C10" s="29" t="str">
        <x:v>RC-002</x:v>
      </x:c>
      <x:c r="D10" s="29" t="str">
        <x:v>Venta</x:v>
      </x:c>
      <x:c r="E10" s="30" t="n">
        <x:v>46207</x:v>
      </x:c>
      <x:c r="F10" s="34" t="n">
        <x:f>IF(D10="Cancelación",-1,1)*SUMIFS('Cálculo'!$I$6:$I$11,'Cálculo'!$A$6:$A$11,A10,'Cálculo'!$B$6:$B$11,C10)</x:f>
        <x:v>35000</x:v>
      </x:c>
      <x:c r="G10" s="34" t="n">
        <x:f>IF(D10="Cancelación",-1,1)*SUMIFS('Cálculo'!$K$6:$K$11,'Cálculo'!$A$6:$A$11,A10,'Cálculo'!$B$6:$B$11,C10)</x:f>
        <x:v>28000</x:v>
      </x:c>
      <x:c r="H10" s="34" t="n">
        <x:f>IF(D10="Cancelación",-1,1)*SUMIFS('Cálculo'!$L$6:$L$11,'Cálculo'!$A$6:$A$11,A10,'Cálculo'!$B$6:$B$11,C10)</x:f>
        <x:v>7000</x:v>
      </x:c>
    </x:row>
    <x:row r="11" ht="25" customHeight="1">
      <x:c r="A11" s="29" t="str">
        <x:v>RC</x:v>
      </x:c>
      <x:c r="B11" s="29" t="str">
        <x:v>EV-RC-003</x:v>
      </x:c>
      <x:c r="C11" s="29" t="str">
        <x:v>RC-003</x:v>
      </x:c>
      <x:c r="D11" s="29" t="str">
        <x:v>Venta</x:v>
      </x:c>
      <x:c r="E11" s="30" t="n">
        <x:v>46208</x:v>
      </x:c>
      <x:c r="F11" s="34" t="n">
        <x:f>IF(D11="Cancelación",-1,1)*SUMIFS('Cálculo'!$I$6:$I$11,'Cálculo'!$A$6:$A$11,A11,'Cálculo'!$B$6:$B$11,C11)</x:f>
        <x:v>5000</x:v>
      </x:c>
      <x:c r="G11" s="34" t="n">
        <x:f>IF(D11="Cancelación",-1,1)*SUMIFS('Cálculo'!$K$6:$K$11,'Cálculo'!$A$6:$A$11,A11,'Cálculo'!$B$6:$B$11,C11)</x:f>
        <x:v>4000</x:v>
      </x:c>
      <x:c r="H11" s="34" t="n">
        <x:f>IF(D11="Cancelación",-1,1)*SUMIFS('Cálculo'!$L$6:$L$11,'Cálculo'!$A$6:$A$11,A11,'Cálculo'!$B$6:$B$11,C11)</x:f>
        <x:v>1000</x:v>
      </x:c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8" hidden="0" customWidth="1"/>
    <x:col min="5" max="5" width="17" hidden="0" customWidth="1"/>
    <x:col min="6" max="6" width="20" hidden="0" customWidth="1"/>
    <x:col min="7" max="7" width="14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3" t="str">
        <x:v>Statement del proveedor</x:v>
      </x:c>
      <x:c r="B2" s="4"/>
      <x:c r="C2" s="4"/>
      <x:c r="D2" s="4"/>
      <x:c r="E2" s="4"/>
      <x:c r="F2" s="4"/>
      <x:c r="G2" s="4"/>
    </x:row>
    <x:row r="3">
      <x:c r="A3" s="5" t="str">
        <x:v>Extracto ficticio con importes con signo · pago positivo, clawback negativo · centavos MXN</x:v>
      </x:c>
      <x:c r="B3" s="1"/>
      <x:c r="C3" s="1"/>
      <x:c r="D3" s="1"/>
      <x:c r="E3" s="1"/>
      <x:c r="F3" s="1"/>
      <x:c r="G3" s="1"/>
    </x:row>
    <x:row r="4">
      <x:c r="A4" s="1"/>
      <x:c r="B4" s="1"/>
      <x:c r="C4" s="1"/>
      <x:c r="D4" s="1"/>
      <x:c r="E4" s="1"/>
      <x:c r="F4" s="1"/>
      <x:c r="G4" s="1"/>
    </x:row>
    <x:row r="5" ht="30" customHeight="1">
      <x:c r="A5" s="10" t="str">
        <x:v>Org</x:v>
      </x:c>
      <x:c r="B5" s="10" t="str">
        <x:v>Movimiento</x:v>
      </x:c>
      <x:c r="C5" s="10" t="str">
        <x:v>Reserva</x:v>
      </x:c>
      <x:c r="D5" s="10" t="str">
        <x:v>Tipo</x:v>
      </x:c>
      <x:c r="E5" s="10" t="str">
        <x:v>Fecha</x:v>
      </x:c>
      <x:c r="F5" s="10" t="str">
        <x:v>Importe minor</x:v>
      </x:c>
      <x:c r="G5" s="10" t="str">
        <x:v>Moneda</x:v>
      </x:c>
    </x:row>
    <x:row r="6" ht="25" customHeight="1">
      <x:c r="A6" s="29" t="str">
        <x:v>HZ</x:v>
      </x:c>
      <x:c r="B6" s="29" t="str">
        <x:v>ST-HZ-001</x:v>
      </x:c>
      <x:c r="C6" s="29" t="str">
        <x:v>HZ-001</x:v>
      </x:c>
      <x:c r="D6" s="29" t="str">
        <x:v>Pago</x:v>
      </x:c>
      <x:c r="E6" s="30" t="n">
        <x:v>46254</x:v>
      </x:c>
      <x:c r="F6" s="32" t="n">
        <x:v>24000</x:v>
      </x:c>
      <x:c r="G6" s="29" t="str">
        <x:v>MXN</x:v>
      </x:c>
    </x:row>
    <x:row r="7" ht="25" customHeight="1">
      <x:c r="A7" s="29" t="str">
        <x:v>HZ</x:v>
      </x:c>
      <x:c r="B7" s="29" t="str">
        <x:v>ST-HZ-002</x:v>
      </x:c>
      <x:c r="C7" s="29" t="str">
        <x:v>HZ-002</x:v>
      </x:c>
      <x:c r="D7" s="29" t="str">
        <x:v>Pago</x:v>
      </x:c>
      <x:c r="E7" s="30" t="n">
        <x:v>46254</x:v>
      </x:c>
      <x:c r="F7" s="32" t="n">
        <x:v>12000</x:v>
      </x:c>
      <x:c r="G7" s="29" t="str">
        <x:v>MXN</x:v>
      </x:c>
    </x:row>
    <x:row r="8" ht="25" customHeight="1">
      <x:c r="A8" s="29" t="str">
        <x:v>HZ</x:v>
      </x:c>
      <x:c r="B8" s="29" t="str">
        <x:v>ST-HZ-003</x:v>
      </x:c>
      <x:c r="C8" s="29" t="str">
        <x:v>HZ-002</x:v>
      </x:c>
      <x:c r="D8" s="29" t="str">
        <x:v>Clawback</x:v>
      </x:c>
      <x:c r="E8" s="30" t="n">
        <x:v>46285</x:v>
      </x:c>
      <x:c r="F8" s="32" t="n">
        <x:v>-12000</x:v>
      </x:c>
      <x:c r="G8" s="29" t="str">
        <x:v>MXN</x:v>
      </x:c>
    </x:row>
    <x:row r="9" ht="25" customHeight="1">
      <x:c r="A9" s="29" t="str">
        <x:v>RC</x:v>
      </x:c>
      <x:c r="B9" s="29" t="str">
        <x:v>ST-RC-001</x:v>
      </x:c>
      <x:c r="C9" s="29" t="str">
        <x:v>RC-001</x:v>
      </x:c>
      <x:c r="D9" s="29" t="str">
        <x:v>Pago parcial</x:v>
      </x:c>
      <x:c r="E9" s="30" t="n">
        <x:v>46256</x:v>
      </x:c>
      <x:c r="F9" s="32" t="n">
        <x:v>50000</x:v>
      </x:c>
      <x:c r="G9" s="29" t="str">
        <x:v>MXN</x:v>
      </x:c>
    </x:row>
    <x:row r="10" ht="25" customHeight="1">
      <x:c r="A10" s="29" t="str">
        <x:v>RC</x:v>
      </x:c>
      <x:c r="B10" s="29" t="str">
        <x:v>ST-RC-002</x:v>
      </x:c>
      <x:c r="C10" s="29" t="str">
        <x:v>RC-002</x:v>
      </x:c>
      <x:c r="D10" s="29" t="str">
        <x:v>Pago</x:v>
      </x:c>
      <x:c r="E10" s="30" t="n">
        <x:v>46256</x:v>
      </x:c>
      <x:c r="F10" s="32" t="n">
        <x:v>35000</x:v>
      </x:c>
      <x:c r="G10" s="29" t="str">
        <x:v>MXN</x:v>
      </x:c>
    </x:row>
    <x:row r="11" ht="25" customHeight="1">
      <x:c r="A11" s="29" t="str">
        <x:v>RC</x:v>
      </x:c>
      <x:c r="B11" s="29" t="str">
        <x:v>ST-RC-003</x:v>
      </x:c>
      <x:c r="C11" s="29" t="str">
        <x:v>RC-003</x:v>
      </x:c>
      <x:c r="D11" s="29" t="str">
        <x:v>Pago</x:v>
      </x:c>
      <x:c r="E11" s="30" t="n">
        <x:v>46256</x:v>
      </x:c>
      <x:c r="F11" s="32" t="n">
        <x:v>5000</x:v>
      </x:c>
      <x:c r="G11" s="29" t="str">
        <x:v>MXN</x:v>
      </x:c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  <x:row r="15">
      <x:c r="A15" s="1"/>
      <x:c r="B15" s="1"/>
      <x:c r="C15" s="1"/>
      <x:c r="D15" s="1"/>
      <x:c r="E15" s="1"/>
      <x:c r="F15" s="1"/>
      <x:c r="G15" s="1"/>
    </x:row>
    <x:row r="16">
      <x:c r="A16" s="1"/>
      <x:c r="B16" s="1"/>
      <x:c r="C16" s="1"/>
      <x:c r="D16" s="1"/>
      <x:c r="E16" s="1"/>
      <x:c r="F16" s="1"/>
      <x:c r="G16" s="1"/>
    </x:row>
    <x:row r="17">
      <x:c r="A17" s="1"/>
      <x:c r="B17" s="1"/>
      <x:c r="C17" s="1"/>
      <x:c r="D17" s="1"/>
      <x:c r="E17" s="1"/>
      <x:c r="F17" s="1"/>
      <x:c r="G17" s="1"/>
    </x:row>
    <x:row r="18">
      <x:c r="A18" s="1"/>
      <x:c r="B18" s="1"/>
      <x:c r="C18" s="1"/>
      <x:c r="D18" s="1"/>
      <x:c r="E18" s="1"/>
      <x:c r="F18" s="1"/>
      <x:c r="G18" s="1"/>
    </x:row>
    <x:row r="19">
      <x:c r="A19" s="1"/>
      <x:c r="B19" s="1"/>
      <x:c r="C19" s="1"/>
      <x:c r="D19" s="1"/>
      <x:c r="E19" s="1"/>
      <x:c r="F19" s="1"/>
      <x:c r="G19" s="1"/>
    </x:row>
    <x:row r="20">
      <x:c r="A20" s="1"/>
      <x:c r="B20" s="1"/>
      <x:c r="C20" s="1"/>
      <x:c r="D20" s="1"/>
      <x:c r="E20" s="1"/>
      <x:c r="F20" s="1"/>
      <x:c r="G2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20" hidden="0" customWidth="1"/>
    <x:col min="5" max="5" width="18" hidden="0" customWidth="1"/>
    <x:col min="6" max="6" width="17" hidden="0" customWidth="1"/>
    <x:col min="7" max="7" width="20" hidden="0" customWidth="1"/>
    <x:col min="8" max="8" width="18" hidden="0" customWidth="1"/>
    <x:col min="9" max="9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Conciliación esperada vs recibida</x:v>
      </x:c>
      <x:c r="B2" s="4"/>
      <x:c r="C2" s="4"/>
      <x:c r="D2" s="4"/>
      <x:c r="E2" s="4"/>
      <x:c r="F2" s="4"/>
      <x:c r="G2" s="4"/>
      <x:c r="H2" s="4"/>
      <x:c r="I2" s="4"/>
    </x:row>
    <x:row r="3">
      <x:c r="A3" s="5" t="str">
        <x:v>Llave: organización + reserva · importes en centavos MXN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0" customHeight="1">
      <x:c r="A5" s="10" t="str">
        <x:v>Org</x:v>
      </x:c>
      <x:c r="B5" s="10" t="str">
        <x:v>Reserva</x:v>
      </x:c>
      <x:c r="C5" s="10" t="str">
        <x:v>Esperado neto</x:v>
      </x:c>
      <x:c r="D5" s="10" t="str">
        <x:v>Recibido neto</x:v>
      </x:c>
      <x:c r="E5" s="10" t="str">
        <x:v>Pendiente</x:v>
      </x:c>
      <x:c r="F5" s="10" t="str">
        <x:v>Estado</x:v>
      </x:c>
      <x:c r="G5" s="10" t="str">
        <x:v>Advisor neto</x:v>
      </x:c>
      <x:c r="H5" s="10" t="str">
        <x:v>Host neto</x:v>
      </x:c>
      <x:c r="I5" s="10" t="str">
        <x:v>Split diferencia</x:v>
      </x:c>
    </x:row>
    <x:row r="6" ht="25" customHeight="1">
      <x:c r="A6" s="29" t="str">
        <x:v>HZ</x:v>
      </x:c>
      <x:c r="B6" s="29" t="str">
        <x:v>HZ-001</x:v>
      </x:c>
      <x:c r="C6" s="34" t="n">
        <x:f>SUMIFS('Eventos'!$F$6:$F$11,'Eventos'!$A$6:$A$11,A6,'Eventos'!$C$6:$C$11,B6)</x:f>
        <x:v>24000</x:v>
      </x:c>
      <x:c r="D6" s="34" t="n">
        <x:f>SUMIFS('Statement'!$F$6:$F$11,'Statement'!$A$6:$A$11,A6,'Statement'!$C$6:$C$11,B6)</x:f>
        <x:v>24000</x:v>
      </x:c>
      <x:c r="E6" s="36" t="n">
        <x:f>C6-D6</x:f>
        <x:v>0</x:v>
      </x:c>
      <x:c r="F6" s="29" t="str">
        <x:f>IF(E6=0,"Cuadra",IF(E6&gt;0,"Pendiente","Exceso"))</x:f>
        <x:v>Cuadra</x:v>
      </x:c>
      <x:c r="G6" s="34" t="n">
        <x:f>SUMIFS('Eventos'!$G$6:$G$11,'Eventos'!$A$6:$A$11,A6,'Eventos'!$C$6:$C$11,B6)</x:f>
        <x:v>16800</x:v>
      </x:c>
      <x:c r="H6" s="34" t="n">
        <x:f>SUMIFS('Eventos'!$H$6:$H$11,'Eventos'!$A$6:$A$11,A6,'Eventos'!$C$6:$C$11,B6)</x:f>
        <x:v>7200</x:v>
      </x:c>
      <x:c r="I6" s="36" t="n">
        <x:f>C6-G6-H6</x:f>
        <x:v>0</x:v>
      </x:c>
    </x:row>
    <x:row r="7" ht="25" customHeight="1">
      <x:c r="A7" s="29" t="str">
        <x:v>HZ</x:v>
      </x:c>
      <x:c r="B7" s="29" t="str">
        <x:v>HZ-002</x:v>
      </x:c>
      <x:c r="C7" s="34" t="n">
        <x:f>SUMIFS('Eventos'!$F$6:$F$11,'Eventos'!$A$6:$A$11,A7,'Eventos'!$C$6:$C$11,B7)</x:f>
        <x:v>0</x:v>
      </x:c>
      <x:c r="D7" s="34" t="n">
        <x:f>SUMIFS('Statement'!$F$6:$F$11,'Statement'!$A$6:$A$11,A7,'Statement'!$C$6:$C$11,B7)</x:f>
        <x:v>0</x:v>
      </x:c>
      <x:c r="E7" s="36" t="n">
        <x:f>C7-D7</x:f>
        <x:v>0</x:v>
      </x:c>
      <x:c r="F7" s="29" t="str">
        <x:f>IF(E7=0,"Cuadra",IF(E7&gt;0,"Pendiente","Exceso"))</x:f>
        <x:v>Cuadra</x:v>
      </x:c>
      <x:c r="G7" s="34" t="n">
        <x:f>SUMIFS('Eventos'!$G$6:$G$11,'Eventos'!$A$6:$A$11,A7,'Eventos'!$C$6:$C$11,B7)</x:f>
        <x:v>0</x:v>
      </x:c>
      <x:c r="H7" s="34" t="n">
        <x:f>SUMIFS('Eventos'!$H$6:$H$11,'Eventos'!$A$6:$A$11,A7,'Eventos'!$C$6:$C$11,B7)</x:f>
        <x:v>0</x:v>
      </x:c>
      <x:c r="I7" s="36" t="n">
        <x:f>C7-G7-H7</x:f>
        <x:v>0</x:v>
      </x:c>
    </x:row>
    <x:row r="8" ht="25" customHeight="1">
      <x:c r="A8" s="29" t="str">
        <x:v>RC</x:v>
      </x:c>
      <x:c r="B8" s="29" t="str">
        <x:v>RC-001</x:v>
      </x:c>
      <x:c r="C8" s="34" t="n">
        <x:f>SUMIFS('Eventos'!$F$6:$F$11,'Eventos'!$A$6:$A$11,A8,'Eventos'!$C$6:$C$11,B8)</x:f>
        <x:v>56000</x:v>
      </x:c>
      <x:c r="D8" s="34" t="n">
        <x:f>SUMIFS('Statement'!$F$6:$F$11,'Statement'!$A$6:$A$11,A8,'Statement'!$C$6:$C$11,B8)</x:f>
        <x:v>50000</x:v>
      </x:c>
      <x:c r="E8" s="36" t="n">
        <x:f>C8-D8</x:f>
        <x:v>6000</x:v>
      </x:c>
      <x:c r="F8" s="29" t="str">
        <x:f>IF(E8=0,"Cuadra",IF(E8&gt;0,"Pendiente","Exceso"))</x:f>
        <x:v>Pendiente</x:v>
      </x:c>
      <x:c r="G8" s="34" t="n">
        <x:f>SUMIFS('Eventos'!$G$6:$G$11,'Eventos'!$A$6:$A$11,A8,'Eventos'!$C$6:$C$11,B8)</x:f>
        <x:v>44800</x:v>
      </x:c>
      <x:c r="H8" s="34" t="n">
        <x:f>SUMIFS('Eventos'!$H$6:$H$11,'Eventos'!$A$6:$A$11,A8,'Eventos'!$C$6:$C$11,B8)</x:f>
        <x:v>11200</x:v>
      </x:c>
      <x:c r="I8" s="36" t="n">
        <x:f>C8-G8-H8</x:f>
        <x:v>0</x:v>
      </x:c>
    </x:row>
    <x:row r="9" ht="25" customHeight="1">
      <x:c r="A9" s="29" t="str">
        <x:v>RC</x:v>
      </x:c>
      <x:c r="B9" s="29" t="str">
        <x:v>RC-002</x:v>
      </x:c>
      <x:c r="C9" s="34" t="n">
        <x:f>SUMIFS('Eventos'!$F$6:$F$11,'Eventos'!$A$6:$A$11,A9,'Eventos'!$C$6:$C$11,B9)</x:f>
        <x:v>35000</x:v>
      </x:c>
      <x:c r="D9" s="34" t="n">
        <x:f>SUMIFS('Statement'!$F$6:$F$11,'Statement'!$A$6:$A$11,A9,'Statement'!$C$6:$C$11,B9)</x:f>
        <x:v>35000</x:v>
      </x:c>
      <x:c r="E9" s="36" t="n">
        <x:f>C9-D9</x:f>
        <x:v>0</x:v>
      </x:c>
      <x:c r="F9" s="29" t="str">
        <x:f>IF(E9=0,"Cuadra",IF(E9&gt;0,"Pendiente","Exceso"))</x:f>
        <x:v>Cuadra</x:v>
      </x:c>
      <x:c r="G9" s="34" t="n">
        <x:f>SUMIFS('Eventos'!$G$6:$G$11,'Eventos'!$A$6:$A$11,A9,'Eventos'!$C$6:$C$11,B9)</x:f>
        <x:v>28000</x:v>
      </x:c>
      <x:c r="H9" s="34" t="n">
        <x:f>SUMIFS('Eventos'!$H$6:$H$11,'Eventos'!$A$6:$A$11,A9,'Eventos'!$C$6:$C$11,B9)</x:f>
        <x:v>7000</x:v>
      </x:c>
      <x:c r="I9" s="36" t="n">
        <x:f>C9-G9-H9</x:f>
        <x:v>0</x:v>
      </x:c>
    </x:row>
    <x:row r="10" ht="25" customHeight="1">
      <x:c r="A10" s="29" t="str">
        <x:v>RC</x:v>
      </x:c>
      <x:c r="B10" s="29" t="str">
        <x:v>RC-003</x:v>
      </x:c>
      <x:c r="C10" s="34" t="n">
        <x:f>SUMIFS('Eventos'!$F$6:$F$11,'Eventos'!$A$6:$A$11,A10,'Eventos'!$C$6:$C$11,B10)</x:f>
        <x:v>5000</x:v>
      </x:c>
      <x:c r="D10" s="34" t="n">
        <x:f>SUMIFS('Statement'!$F$6:$F$11,'Statement'!$A$6:$A$11,A10,'Statement'!$C$6:$C$11,B10)</x:f>
        <x:v>5000</x:v>
      </x:c>
      <x:c r="E10" s="36" t="n">
        <x:f>C10-D10</x:f>
        <x:v>0</x:v>
      </x:c>
      <x:c r="F10" s="29" t="str">
        <x:f>IF(E10=0,"Cuadra",IF(E10&gt;0,"Pendiente","Exceso"))</x:f>
        <x:v>Cuadra</x:v>
      </x:c>
      <x:c r="G10" s="34" t="n">
        <x:f>SUMIFS('Eventos'!$G$6:$G$11,'Eventos'!$A$6:$A$11,A10,'Eventos'!$C$6:$C$11,B10)</x:f>
        <x:v>4000</x:v>
      </x:c>
      <x:c r="H10" s="34" t="n">
        <x:f>SUMIFS('Eventos'!$H$6:$H$11,'Eventos'!$A$6:$A$11,A10,'Eventos'!$C$6:$C$11,B10)</x:f>
        <x:v>1000</x:v>
      </x:c>
      <x:c r="I10" s="36" t="n">
        <x:f>C10-G10-H10</x:f>
        <x:v>0</x:v>
      </x:c>
    </x:row>
    <x:row r="11">
      <x:c r="A11" s="1"/>
      <x:c r="B11" s="1"/>
      <x:c r="C11" s="16"/>
      <x:c r="D11" s="16"/>
      <x:c r="E11" s="16"/>
      <x:c r="F11" s="1"/>
      <x:c r="G11" s="16"/>
      <x:c r="H11" s="16"/>
      <x:c r="I11" s="16"/>
    </x:row>
    <x:row r="12">
      <x:c r="A12" s="1"/>
      <x:c r="B12" s="1"/>
      <x:c r="C12" s="16"/>
      <x:c r="D12" s="16"/>
      <x:c r="E12" s="16"/>
      <x:c r="F12" s="1"/>
      <x:c r="G12" s="16"/>
      <x:c r="H12" s="16"/>
      <x:c r="I12" s="16"/>
    </x:row>
    <x:row r="13">
      <x:c r="A13" s="27" t="str">
        <x:v>HZ</x:v>
      </x:c>
      <x:c r="B13" s="27" t="str">
        <x:v>Total Horizonte</x:v>
      </x:c>
      <x:c r="C13" s="28" t="n">
        <x:f>SUMIF($A$6:$A$10,A13,$C$6:$C$10)</x:f>
        <x:v>24000</x:v>
      </x:c>
      <x:c r="D13" s="28" t="n">
        <x:f>SUMIF($A$6:$A$10,A13,$D$6:$D$10)</x:f>
        <x:v>24000</x:v>
      </x:c>
      <x:c r="E13" s="28" t="n">
        <x:f>SUMIF($A$6:$A$10,A13,$E$6:$E$10)</x:f>
        <x:v>0</x:v>
      </x:c>
      <x:c r="F13" s="27" t="str">
        <x:f>IF(E13=0,"Cuadra","Pendiente")</x:f>
        <x:v>Cuadra</x:v>
      </x:c>
      <x:c r="G13" s="28" t="n">
        <x:f>SUMIF($A$6:$A$10,A13,$G$6:$G$10)</x:f>
        <x:v>16800</x:v>
      </x:c>
      <x:c r="H13" s="28" t="n">
        <x:f>SUMIF($A$6:$A$10,A13,$H$6:$H$10)</x:f>
        <x:v>7200</x:v>
      </x:c>
      <x:c r="I13" s="28" t="n">
        <x:f>SUMIF($A$6:$A$10,A13,$I$6:$I$10)</x:f>
        <x:v>0</x:v>
      </x:c>
    </x:row>
    <x:row r="14">
      <x:c r="A14" s="27" t="str">
        <x:v>RC</x:v>
      </x:c>
      <x:c r="B14" s="27" t="str">
        <x:v>Total Ruta Clara</x:v>
      </x:c>
      <x:c r="C14" s="28" t="n">
        <x:f>SUMIF($A$6:$A$10,A14,$C$6:$C$10)</x:f>
        <x:v>96000</x:v>
      </x:c>
      <x:c r="D14" s="28" t="n">
        <x:f>SUMIF($A$6:$A$10,A14,$D$6:$D$10)</x:f>
        <x:v>90000</x:v>
      </x:c>
      <x:c r="E14" s="28" t="n">
        <x:f>SUMIF($A$6:$A$10,A14,$E$6:$E$10)</x:f>
        <x:v>6000</x:v>
      </x:c>
      <x:c r="F14" s="27" t="str">
        <x:f>IF(E14=0,"Cuadra","Pendiente")</x:f>
        <x:v>Pendiente</x:v>
      </x:c>
      <x:c r="G14" s="28" t="n">
        <x:f>SUMIF($A$6:$A$10,A14,$G$6:$G$10)</x:f>
        <x:v>76800</x:v>
      </x:c>
      <x:c r="H14" s="28" t="n">
        <x:f>SUMIF($A$6:$A$10,A14,$H$6:$H$10)</x:f>
        <x:v>19200</x:v>
      </x:c>
      <x:c r="I14" s="28" t="n">
        <x:f>SUMIF($A$6:$A$10,A14,$I$6:$I$10)</x:f>
        <x:v>0</x:v>
      </x:c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</x:sheetData>
  <x:pageMargins left="0.7" right="0.7" top="0.75" bottom="0.75" header="0.3" footer="0.3"/>
</x:worksheet>
</file>